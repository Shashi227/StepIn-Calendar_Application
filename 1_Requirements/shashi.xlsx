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filterPrivacy="1" codeName="ThisWorkbook"/>
  <xr:revisionPtr revIDLastSave="0" documentId="13_ncr:1_{9F78D03C-6B80-4806-A2E1-1A6CA6D8FD22}" xr6:coauthVersionLast="47" xr6:coauthVersionMax="47" xr10:uidLastSave="{00000000-0000-0000-0000-000000000000}"/>
  <bookViews>
    <workbookView xWindow="-120" yWindow="-120" windowWidth="20730" windowHeight="11160" xr2:uid="{00000000-000D-0000-FFFF-FFFF00000000}"/>
  </bookViews>
  <sheets>
    <sheet name="ProjectSchedule" sheetId="11" r:id="rId1"/>
    <sheet name="About" sheetId="12" r:id="rId2"/>
  </sheets>
  <definedNames>
    <definedName name="Display_Week">ProjectSchedule!$E$4</definedName>
    <definedName name="_xlnm.Print_Titles" localSheetId="0">ProjectSchedule!$4:$6</definedName>
    <definedName name="Project_Start">ProjectSchedule!$E$3</definedName>
    <definedName name="task_end" localSheetId="0">ProjectSchedule!$F1</definedName>
    <definedName name="task_progress" localSheetId="0">ProjectSchedule!$D1</definedName>
    <definedName name="task_start" localSheetId="0">ProjectSchedule!$E1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11" l="1"/>
  <c r="H7" i="11"/>
  <c r="E9" i="11" l="1"/>
  <c r="F9" i="11" l="1"/>
  <c r="E10" i="11" s="1"/>
  <c r="F10" i="11" s="1"/>
  <c r="E11" i="11" s="1"/>
  <c r="F11" i="11" s="1"/>
  <c r="E12" i="11" s="1"/>
  <c r="F12" i="11" s="1"/>
  <c r="E21" i="11"/>
  <c r="F21" i="11" s="1"/>
  <c r="E22" i="11" s="1"/>
  <c r="I5" i="11"/>
  <c r="I4" i="11" s="1"/>
  <c r="H33" i="11"/>
  <c r="H32" i="11"/>
  <c r="H26" i="11"/>
  <c r="H20" i="11"/>
  <c r="H14" i="11"/>
  <c r="H8" i="11"/>
  <c r="F22" i="11" l="1"/>
  <c r="E23" i="11"/>
  <c r="F23" i="11" s="1"/>
  <c r="E24" i="11" s="1"/>
  <c r="H9" i="11"/>
  <c r="E13" i="11"/>
  <c r="I6" i="11"/>
  <c r="E15" i="11" l="1"/>
  <c r="F13" i="11"/>
  <c r="F24" i="11"/>
  <c r="E25" i="11"/>
  <c r="H10" i="11"/>
  <c r="H13" i="11"/>
  <c r="J5" i="11"/>
  <c r="K5" i="11" s="1"/>
  <c r="L5" i="11" s="1"/>
  <c r="M5" i="11" s="1"/>
  <c r="N5" i="11" s="1"/>
  <c r="O5" i="11" s="1"/>
  <c r="P5" i="11" s="1"/>
  <c r="F31" i="11" l="1"/>
  <c r="F29" i="11"/>
  <c r="F27" i="11"/>
  <c r="E29" i="11"/>
  <c r="H29" i="11" s="1"/>
  <c r="E27" i="11"/>
  <c r="E30" i="11"/>
  <c r="E28" i="11"/>
  <c r="H28" i="11" s="1"/>
  <c r="E31" i="11"/>
  <c r="F30" i="11"/>
  <c r="F28" i="11"/>
  <c r="F25" i="11"/>
  <c r="E16" i="11"/>
  <c r="F16" i="11" s="1"/>
  <c r="E17" i="11" s="1"/>
  <c r="F17" i="11" s="1"/>
  <c r="F15" i="11"/>
  <c r="H15" i="11" s="1"/>
  <c r="H11" i="11"/>
  <c r="H12" i="11"/>
  <c r="P4" i="11"/>
  <c r="Q5" i="11"/>
  <c r="R5" i="11" s="1"/>
  <c r="S5" i="11" s="1"/>
  <c r="T5" i="11" s="1"/>
  <c r="U5" i="11" s="1"/>
  <c r="V5" i="11" s="1"/>
  <c r="W5" i="11" s="1"/>
  <c r="J6" i="11"/>
  <c r="H31" i="11" l="1"/>
  <c r="E18" i="11"/>
  <c r="H16" i="11"/>
  <c r="H30" i="11"/>
  <c r="H27" i="11"/>
  <c r="H17" i="11"/>
  <c r="W4" i="11"/>
  <c r="X5" i="11"/>
  <c r="Y5" i="11" s="1"/>
  <c r="Z5" i="11" s="1"/>
  <c r="AA5" i="11" s="1"/>
  <c r="AB5" i="11" s="1"/>
  <c r="AC5" i="11" s="1"/>
  <c r="AD5" i="11" s="1"/>
  <c r="K6" i="11"/>
  <c r="E19" i="11" l="1"/>
  <c r="F18" i="11"/>
  <c r="H18" i="11" s="1"/>
  <c r="AE5" i="11"/>
  <c r="AF5" i="11" s="1"/>
  <c r="AG5" i="11" s="1"/>
  <c r="AH5" i="11" s="1"/>
  <c r="AI5" i="11" s="1"/>
  <c r="AJ5" i="11" s="1"/>
  <c r="AD4" i="11"/>
  <c r="L6" i="11"/>
  <c r="F19" i="11" l="1"/>
  <c r="H19" i="11" s="1"/>
  <c r="AK5" i="1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 r="H21" i="11"/>
  <c r="H22" i="11" l="1"/>
  <c r="H24" i="11" l="1"/>
  <c r="H23" i="11"/>
  <c r="H25" i="11"/>
</calcChain>
</file>

<file path=xl/sharedStrings.xml><?xml version="1.0" encoding="utf-8"?>
<sst xmlns="http://schemas.openxmlformats.org/spreadsheetml/2006/main" count="88" uniqueCount="66">
  <si>
    <t>Insert new rows ABOVE this one</t>
  </si>
  <si>
    <t>Project Start:</t>
  </si>
  <si>
    <t>PROGRESS</t>
  </si>
  <si>
    <t>ASSIGNED
TO</t>
  </si>
  <si>
    <t>Project Management Templates</t>
  </si>
  <si>
    <t>START</t>
  </si>
  <si>
    <t>END</t>
  </si>
  <si>
    <t>DAYS</t>
  </si>
  <si>
    <t>Display Week:</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</si>
  <si>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</si>
  <si>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</si>
  <si>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</si>
  <si>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</si>
  <si>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</si>
  <si>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</si>
  <si>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</si>
  <si>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</si>
  <si>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https://www.vertex42.com/ExcelTemplates/simple-gantt-chart.html</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</si>
  <si>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</si>
  <si>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</si>
  <si>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</si>
  <si>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</si>
  <si>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</si>
  <si>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</si>
  <si>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Enter Company Name in cell B2.</t>
  </si>
  <si>
    <t>Sample phase title block</t>
  </si>
  <si>
    <t>This row marks the end of the Project Schedule. DO NOT enter anything in this row. 
Insert new rows ABOVE this one to continue building out your Project Schedule.</t>
  </si>
  <si>
    <t>This is an empty row</t>
  </si>
  <si>
    <t xml:space="preserve">Do not delete this row. This row is hidden to preserve a formula that is used to highlight the curren day within the project schedule. </t>
  </si>
  <si>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</si>
  <si>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Enter the name of the Project Lead in cell B3. Enter the Project Start date in cell E3. Pooject Start: label is in cell C3.</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</si>
  <si>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</si>
  <si>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</si>
  <si>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</si>
  <si>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</si>
  <si>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 xml:space="preserve">Cell B9 contains the sample task "Task 1." 
Enter a new task name in cell B9.
Enter a person to assign the task to in cell C9.
Enter progres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</si>
  <si>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</si>
  <si>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</si>
  <si>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Phase 1:- REQUIREMENT ANALYSIS</t>
  </si>
  <si>
    <t xml:space="preserve">Intro and objective of SRM </t>
  </si>
  <si>
    <t>S.W.O.T Analysis</t>
  </si>
  <si>
    <t>4'W and 1'H</t>
  </si>
  <si>
    <t>Requirement Aanalysis</t>
  </si>
  <si>
    <t>High level and low level req</t>
  </si>
  <si>
    <t>STUDENT RECORD MANAGEMENT SYSTEM</t>
  </si>
  <si>
    <t>L&amp;T TECHNOLOGY SERVICES</t>
  </si>
  <si>
    <t>PRITHVI AND BHARAT</t>
  </si>
  <si>
    <t>Phase 2:- ARCHITECTURE</t>
  </si>
  <si>
    <t>STRUCTURAL DIG1</t>
  </si>
  <si>
    <t>STRUCTURAL DIG2</t>
  </si>
  <si>
    <t>BEHAVIOURAL DIG1</t>
  </si>
  <si>
    <t>BEHAVIOURAL DIG2</t>
  </si>
  <si>
    <t>UPDATE README FILE</t>
  </si>
  <si>
    <t>Phase 3:- IMPLIMENTATION</t>
  </si>
  <si>
    <t>DOCUMENTATION</t>
  </si>
  <si>
    <t>INC</t>
  </si>
  <si>
    <t>SRC</t>
  </si>
  <si>
    <t>TEST</t>
  </si>
  <si>
    <t>UNITY</t>
  </si>
  <si>
    <t>Phase 4:- TEST PLAN AND REPORT</t>
  </si>
  <si>
    <t>MAKE FILE OUTPUT</t>
  </si>
  <si>
    <t>TEST PLAN</t>
  </si>
  <si>
    <t>UNIT TESTING</t>
  </si>
  <si>
    <t>REPORT</t>
  </si>
  <si>
    <t>OTHER</t>
  </si>
  <si>
    <t>Shashi Kumar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</si>
</sst>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3"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s>
  <fills count="14">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s>
  <borders count="11">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s>
  <cellStyleXfs count="13">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43"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5" fontId="9" fillId="0" borderId="3">
      <alignment horizontal="center" vertical="center"/>
    </xf>
    <xf numFmtId="164" fontId="9" fillId="0" borderId="2" applyFill="0">
      <alignment horizontal="center" vertical="center"/>
    </xf>
    <xf numFmtId="0" fontId="9" fillId="0" borderId="2" applyFill="0">
      <alignment horizontal="center" vertical="center"/>
    </xf>
    <xf numFmtId="0" fontId="9" fillId="0" borderId="2" applyFill="0">
      <alignment horizontal="left" vertical="center" indent="2"/>
    </xf>
  </cellStyleXfs>
  <cellXfs count="92">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167" fontId="11" fillId="7" borderId="0" xfId="0" applyNumberFormat="1" applyFont="1" applyFill="1" applyAlignment="1">
      <alignment horizontal="center" vertical="center"/>
    </xf>
    <xf numFmtId="167" fontId="11" fillId="7" borderId="6" xfId="0" applyNumberFormat="1" applyFont="1" applyFill="1" applyBorder="1" applyAlignment="1">
      <alignment horizontal="center" vertical="center"/>
    </xf>
    <xf numFmtId="167" fontId="11" fillId="7" borderId="7" xfId="0" applyNumberFormat="1" applyFont="1" applyFill="1" applyBorder="1" applyAlignment="1">
      <alignment horizontal="center" vertical="center"/>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164" fontId="0" fillId="8" borderId="2" xfId="0" applyNumberFormat="1" applyFill="1" applyBorder="1" applyAlignment="1">
      <alignment horizontal="center" vertical="center"/>
    </xf>
    <xf numFmtId="164" fontId="5" fillId="8" borderId="2" xfId="0" applyNumberFormat="1"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164" fontId="0" fillId="9" borderId="2" xfId="0" applyNumberFormat="1" applyFill="1" applyBorder="1" applyAlignment="1">
      <alignment horizontal="center" vertical="center"/>
    </xf>
    <xf numFmtId="164" fontId="5" fillId="9" borderId="2" xfId="0" applyNumberFormat="1"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164" fontId="0" fillId="6" borderId="2" xfId="0" applyNumberFormat="1" applyFill="1" applyBorder="1" applyAlignment="1">
      <alignment horizontal="center" vertical="center"/>
    </xf>
    <xf numFmtId="164" fontId="5" fillId="6" borderId="2" xfId="0" applyNumberFormat="1"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164" fontId="0" fillId="5" borderId="2" xfId="0" applyNumberFormat="1" applyFill="1" applyBorder="1" applyAlignment="1">
      <alignment horizontal="center" vertical="center"/>
    </xf>
    <xf numFmtId="164" fontId="5" fillId="5" borderId="2" xfId="0" applyNumberFormat="1"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164" fontId="4" fillId="2" borderId="2" xfId="0" applyNumberFormat="1" applyFont="1" applyFill="1" applyBorder="1" applyAlignment="1">
      <alignment horizontal="left" vertical="center"/>
    </xf>
    <xf numFmtId="164" fontId="5" fillId="2" borderId="2" xfId="0" applyNumberFormat="1"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15" fillId="0" borderId="0" xfId="1" applyFont="1" applyProtection="1">
      <alignment vertical="top"/>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164" fontId="9" fillId="3" borderId="2" xfId="10" applyFill="1">
      <alignment horizontal="center" vertical="center"/>
    </xf>
    <xf numFmtId="164" fontId="9" fillId="4" borderId="2" xfId="10" applyFill="1">
      <alignment horizontal="center" vertical="center"/>
    </xf>
    <xf numFmtId="164" fontId="9" fillId="11" borderId="2" xfId="10" applyFill="1">
      <alignment horizontal="center" vertical="center"/>
    </xf>
    <xf numFmtId="164" fontId="9" fillId="10" borderId="2" xfId="10" applyFill="1">
      <alignment horizontal="center" vertical="center"/>
    </xf>
    <xf numFmtId="164" fontId="9" fillId="0" borderId="2" xfId="10">
      <alignment horizontal="center" vertical="center"/>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0" fontId="9" fillId="0" borderId="0" xfId="8">
      <alignment horizontal="right" indent="1"/>
    </xf>
    <xf numFmtId="0" fontId="9" fillId="0" borderId="7" xfId="8" applyBorder="1">
      <alignment horizontal="right" indent="1"/>
    </xf>
    <xf numFmtId="0" fontId="0" fillId="0" borderId="10" xfId="0" applyBorder="1"/>
    <xf numFmtId="166" fontId="0" fillId="7" borderId="4" xfId="0" applyNumberFormat="1" applyFill="1" applyBorder="1" applyAlignment="1">
      <alignment horizontal="left" vertical="center" wrapText="1" indent="1"/>
    </xf>
    <xf numFmtId="166" fontId="0" fillId="7" borderId="1" xfId="0" applyNumberFormat="1" applyFill="1" applyBorder="1" applyAlignment="1">
      <alignment horizontal="left" vertical="center" wrapText="1" indent="1"/>
    </xf>
    <xf numFmtId="166" fontId="0" fillId="7" borderId="5" xfId="0" applyNumberFormat="1" applyFill="1" applyBorder="1" applyAlignment="1">
      <alignment horizontal="left" vertical="center" wrapText="1" indent="1"/>
    </xf>
    <xf numFmtId="165" fontId="9" fillId="0" borderId="3" xfId="9">
      <alignment horizontal="center" vertical="center"/>
    </xf>
  </cellXfs>
  <cellStyles count="13">
    <cellStyle name="Comma" xfId="4" builtinId="3" customBuiltin="1"/>
    <cellStyle name="Date" xfId="10" xr:uid="{00000000-0005-0000-0000-000001000000}"/>
    <cellStyle name="Heading 1" xfId="6" builtinId="16" customBuiltin="1"/>
    <cellStyle name="Heading 2" xfId="7" builtinId="17" customBuiltin="1"/>
    <cellStyle name="Heading 3" xfId="8" builtinId="18" customBuiltin="1"/>
    <cellStyle name="Hyperlink" xfId="1" builtinId="8" customBuiltin="1"/>
    <cellStyle name="Name" xfId="11" xr:uid="{00000000-0005-0000-0000-000006000000}"/>
    <cellStyle name="Normal" xfId="0" builtinId="0"/>
    <cellStyle name="Percent" xfId="2" builtinId="5"/>
    <cellStyle name="Project Start" xfId="9" xr:uid="{00000000-0005-0000-0000-000009000000}"/>
    <cellStyle name="Task" xfId="12" xr:uid="{00000000-0005-0000-0000-00000A000000}"/>
    <cellStyle name="Title" xfId="5" builtinId="15" customBuiltin="1"/>
    <cellStyle name="zHiddenText" xfId="3" xr:uid="{00000000-0005-0000-0000-00000C000000}"/>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zoomScaleNormal="100" zoomScalePageLayoutView="70" workbookViewId="0">
      <pane ySplit="6" topLeftCell="A27" activePane="bottomLeft" state="frozen"/>
      <selection pane="bottomLeft" activeCell="E3" sqref="E3:F3"/>
    </sheetView>
  </sheetViews>
  <sheetFormatPr defaultRowHeight="30" customHeight="1" x14ac:dyDescent="0.25"/>
  <cols>
    <col min="1" max="1" width="2.7109375" style="58" customWidth="1"/>
    <col min="2" max="2" width="32.28515625" bestFit="1" customWidth="1"/>
    <col min="3" max="3" width="30.7109375" customWidth="1"/>
    <col min="4" max="4" width="10.7109375" customWidth="1"/>
    <col min="5" max="5" width="10.42578125" style="5" customWidth="1"/>
    <col min="6" max="6" width="10.42578125" customWidth="1"/>
    <col min="7" max="7" width="2.7109375" customWidth="1"/>
    <col min="8" max="8" width="6.140625" hidden="1" customWidth="1"/>
    <col min="9" max="64" width="2.5703125" customWidth="1"/>
    <col min="69" max="70" width="10.28515625"/>
  </cols>
  <sheetData>
    <row r="1" spans="1:64" ht="30" customHeight="1" x14ac:dyDescent="0.45">
      <c r="A1" s="59" t="s">
        <v>29</v>
      </c>
      <c r="B1" s="63" t="s">
        <v>44</v>
      </c>
      <c r="C1" s="1"/>
      <c r="D1" s="2"/>
      <c r="E1" s="4"/>
      <c r="F1" s="47"/>
      <c r="H1" s="2"/>
      <c r="I1" s="14" t="s">
        <v>12</v>
      </c>
    </row>
    <row r="2" spans="1:64" ht="30" customHeight="1" x14ac:dyDescent="0.3">
      <c r="A2" s="58" t="s">
        <v>24</v>
      </c>
      <c r="B2" s="64" t="s">
        <v>45</v>
      </c>
      <c r="I2" s="61" t="s">
        <v>17</v>
      </c>
    </row>
    <row r="3" spans="1:64" ht="30" customHeight="1" x14ac:dyDescent="0.25">
      <c r="A3" s="58" t="s">
        <v>30</v>
      </c>
      <c r="B3" s="65" t="s">
        <v>46</v>
      </c>
      <c r="C3" s="85" t="s">
        <v>1</v>
      </c>
      <c r="D3" s="86"/>
      <c r="E3" s="91">
        <f>DATE(2021,8,30)</f>
        <v>44438</v>
      </c>
      <c r="F3" s="91"/>
    </row>
    <row r="4" spans="1:64" ht="30" customHeight="1" x14ac:dyDescent="0.25">
      <c r="A4" s="59" t="s">
        <v>31</v>
      </c>
      <c r="C4" s="85" t="s">
        <v>8</v>
      </c>
      <c r="D4" s="86"/>
      <c r="E4" s="7">
        <v>1</v>
      </c>
      <c r="I4" s="88">
        <f>I5</f>
        <v>44438</v>
      </c>
      <c r="J4" s="89"/>
      <c r="K4" s="89"/>
      <c r="L4" s="89"/>
      <c r="M4" s="89"/>
      <c r="N4" s="89"/>
      <c r="O4" s="90"/>
      <c r="P4" s="88">
        <f>P5</f>
        <v>44445</v>
      </c>
      <c r="Q4" s="89"/>
      <c r="R4" s="89"/>
      <c r="S4" s="89"/>
      <c r="T4" s="89"/>
      <c r="U4" s="89"/>
      <c r="V4" s="90"/>
      <c r="W4" s="88">
        <f>W5</f>
        <v>44452</v>
      </c>
      <c r="X4" s="89"/>
      <c r="Y4" s="89"/>
      <c r="Z4" s="89"/>
      <c r="AA4" s="89"/>
      <c r="AB4" s="89"/>
      <c r="AC4" s="90"/>
      <c r="AD4" s="88">
        <f>AD5</f>
        <v>44459</v>
      </c>
      <c r="AE4" s="89"/>
      <c r="AF4" s="89"/>
      <c r="AG4" s="89"/>
      <c r="AH4" s="89"/>
      <c r="AI4" s="89"/>
      <c r="AJ4" s="90"/>
      <c r="AK4" s="88">
        <f>AK5</f>
        <v>44466</v>
      </c>
      <c r="AL4" s="89"/>
      <c r="AM4" s="89"/>
      <c r="AN4" s="89"/>
      <c r="AO4" s="89"/>
      <c r="AP4" s="89"/>
      <c r="AQ4" s="90"/>
      <c r="AR4" s="88">
        <f>AR5</f>
        <v>44473</v>
      </c>
      <c r="AS4" s="89"/>
      <c r="AT4" s="89"/>
      <c r="AU4" s="89"/>
      <c r="AV4" s="89"/>
      <c r="AW4" s="89"/>
      <c r="AX4" s="90"/>
      <c r="AY4" s="88">
        <f>AY5</f>
        <v>44480</v>
      </c>
      <c r="AZ4" s="89"/>
      <c r="BA4" s="89"/>
      <c r="BB4" s="89"/>
      <c r="BC4" s="89"/>
      <c r="BD4" s="89"/>
      <c r="BE4" s="90"/>
      <c r="BF4" s="88">
        <f>BF5</f>
        <v>44487</v>
      </c>
      <c r="BG4" s="89"/>
      <c r="BH4" s="89"/>
      <c r="BI4" s="89"/>
      <c r="BJ4" s="89"/>
      <c r="BK4" s="89"/>
      <c r="BL4" s="90"/>
    </row>
    <row r="5" spans="1:64" ht="15" customHeight="1" x14ac:dyDescent="0.25">
      <c r="A5" s="59" t="s">
        <v>32</v>
      </c>
      <c r="B5" s="87"/>
      <c r="C5" s="87"/>
      <c r="D5" s="87"/>
      <c r="E5" s="87"/>
      <c r="F5" s="87"/>
      <c r="G5" s="87"/>
      <c r="I5" s="11">
        <f>Project_Start-WEEKDAY(Project_Start,1)+2+7*(Display_Week-1)</f>
        <v>44438</v>
      </c>
      <c r="J5" s="10">
        <f>I5+1</f>
        <v>44439</v>
      </c>
      <c r="K5" s="10">
        <f t="shared" ref="K5:AX5" si="0">J5+1</f>
        <v>44440</v>
      </c>
      <c r="L5" s="10">
        <f t="shared" si="0"/>
        <v>44441</v>
      </c>
      <c r="M5" s="10">
        <f t="shared" si="0"/>
        <v>44442</v>
      </c>
      <c r="N5" s="10">
        <f t="shared" si="0"/>
        <v>44443</v>
      </c>
      <c r="O5" s="12">
        <f t="shared" si="0"/>
        <v>44444</v>
      </c>
      <c r="P5" s="11">
        <f>O5+1</f>
        <v>44445</v>
      </c>
      <c r="Q5" s="10">
        <f>P5+1</f>
        <v>44446</v>
      </c>
      <c r="R5" s="10">
        <f t="shared" si="0"/>
        <v>44447</v>
      </c>
      <c r="S5" s="10">
        <f t="shared" si="0"/>
        <v>44448</v>
      </c>
      <c r="T5" s="10">
        <f t="shared" si="0"/>
        <v>44449</v>
      </c>
      <c r="U5" s="10">
        <f t="shared" si="0"/>
        <v>44450</v>
      </c>
      <c r="V5" s="12">
        <f t="shared" si="0"/>
        <v>44451</v>
      </c>
      <c r="W5" s="11">
        <f>V5+1</f>
        <v>44452</v>
      </c>
      <c r="X5" s="10">
        <f>W5+1</f>
        <v>44453</v>
      </c>
      <c r="Y5" s="10">
        <f t="shared" si="0"/>
        <v>44454</v>
      </c>
      <c r="Z5" s="10">
        <f t="shared" si="0"/>
        <v>44455</v>
      </c>
      <c r="AA5" s="10">
        <f t="shared" si="0"/>
        <v>44456</v>
      </c>
      <c r="AB5" s="10">
        <f t="shared" si="0"/>
        <v>44457</v>
      </c>
      <c r="AC5" s="12">
        <f t="shared" si="0"/>
        <v>44458</v>
      </c>
      <c r="AD5" s="11">
        <f>AC5+1</f>
        <v>44459</v>
      </c>
      <c r="AE5" s="10">
        <f>AD5+1</f>
        <v>44460</v>
      </c>
      <c r="AF5" s="10">
        <f t="shared" si="0"/>
        <v>44461</v>
      </c>
      <c r="AG5" s="10">
        <f t="shared" si="0"/>
        <v>44462</v>
      </c>
      <c r="AH5" s="10">
        <f t="shared" si="0"/>
        <v>44463</v>
      </c>
      <c r="AI5" s="10">
        <f t="shared" si="0"/>
        <v>44464</v>
      </c>
      <c r="AJ5" s="12">
        <f t="shared" si="0"/>
        <v>44465</v>
      </c>
      <c r="AK5" s="11">
        <f>AJ5+1</f>
        <v>44466</v>
      </c>
      <c r="AL5" s="10">
        <f>AK5+1</f>
        <v>44467</v>
      </c>
      <c r="AM5" s="10">
        <f t="shared" si="0"/>
        <v>44468</v>
      </c>
      <c r="AN5" s="10">
        <f t="shared" si="0"/>
        <v>44469</v>
      </c>
      <c r="AO5" s="10">
        <f t="shared" si="0"/>
        <v>44470</v>
      </c>
      <c r="AP5" s="10">
        <f t="shared" si="0"/>
        <v>44471</v>
      </c>
      <c r="AQ5" s="12">
        <f t="shared" si="0"/>
        <v>44472</v>
      </c>
      <c r="AR5" s="11">
        <f>AQ5+1</f>
        <v>44473</v>
      </c>
      <c r="AS5" s="10">
        <f>AR5+1</f>
        <v>44474</v>
      </c>
      <c r="AT5" s="10">
        <f t="shared" si="0"/>
        <v>44475</v>
      </c>
      <c r="AU5" s="10">
        <f t="shared" si="0"/>
        <v>44476</v>
      </c>
      <c r="AV5" s="10">
        <f t="shared" si="0"/>
        <v>44477</v>
      </c>
      <c r="AW5" s="10">
        <f t="shared" si="0"/>
        <v>44478</v>
      </c>
      <c r="AX5" s="12">
        <f t="shared" si="0"/>
        <v>44479</v>
      </c>
      <c r="AY5" s="11">
        <f>AX5+1</f>
        <v>44480</v>
      </c>
      <c r="AZ5" s="10">
        <f>AY5+1</f>
        <v>44481</v>
      </c>
      <c r="BA5" s="10">
        <f t="shared" ref="BA5:BE5" si="1">AZ5+1</f>
        <v>44482</v>
      </c>
      <c r="BB5" s="10">
        <f t="shared" si="1"/>
        <v>44483</v>
      </c>
      <c r="BC5" s="10">
        <f t="shared" si="1"/>
        <v>44484</v>
      </c>
      <c r="BD5" s="10">
        <f t="shared" si="1"/>
        <v>44485</v>
      </c>
      <c r="BE5" s="12">
        <f t="shared" si="1"/>
        <v>44486</v>
      </c>
      <c r="BF5" s="11">
        <f>BE5+1</f>
        <v>44487</v>
      </c>
      <c r="BG5" s="10">
        <f>BF5+1</f>
        <v>44488</v>
      </c>
      <c r="BH5" s="10">
        <f t="shared" ref="BH5:BL5" si="2">BG5+1</f>
        <v>44489</v>
      </c>
      <c r="BI5" s="10">
        <f t="shared" si="2"/>
        <v>44490</v>
      </c>
      <c r="BJ5" s="10">
        <f t="shared" si="2"/>
        <v>44491</v>
      </c>
      <c r="BK5" s="10">
        <f t="shared" si="2"/>
        <v>44492</v>
      </c>
      <c r="BL5" s="12">
        <f t="shared" si="2"/>
        <v>44493</v>
      </c>
    </row>
    <row r="6" spans="1:64" ht="30" customHeight="1" thickBot="1" x14ac:dyDescent="0.3">
      <c r="A6" s="59" t="s">
        <v>33</v>
      </c>
      <c r="B6" s="8" t="s">
        <v>9</v>
      </c>
      <c r="C6" s="9" t="s">
        <v>3</v>
      </c>
      <c r="D6" s="9" t="s">
        <v>2</v>
      </c>
      <c r="E6" s="9" t="s">
        <v>5</v>
      </c>
      <c r="F6" s="9" t="s">
        <v>6</v>
      </c>
      <c r="G6" s="9"/>
      <c r="H6" s="9" t="s">
        <v>7</v>
      </c>
      <c r="I6" s="13" t="str">
        <f t="shared" ref="I6" si="3">LEFT(TEXT(I5,"ddd"),1)</f>
        <v>M</v>
      </c>
      <c r="J6" s="13" t="str">
        <f t="shared" ref="J6:AR6" si="4">LEFT(TEXT(J5,"ddd"),1)</f>
        <v>T</v>
      </c>
      <c r="K6" s="13" t="str">
        <f t="shared" si="4"/>
        <v>W</v>
      </c>
      <c r="L6" s="13" t="str">
        <f t="shared" si="4"/>
        <v>T</v>
      </c>
      <c r="M6" s="13" t="str">
        <f t="shared" si="4"/>
        <v>F</v>
      </c>
      <c r="N6" s="13" t="str">
        <f t="shared" si="4"/>
        <v>S</v>
      </c>
      <c r="O6" s="13" t="str">
        <f t="shared" si="4"/>
        <v>S</v>
      </c>
      <c r="P6" s="13" t="str">
        <f t="shared" si="4"/>
        <v>M</v>
      </c>
      <c r="Q6" s="13" t="str">
        <f t="shared" si="4"/>
        <v>T</v>
      </c>
      <c r="R6" s="13" t="str">
        <f t="shared" si="4"/>
        <v>W</v>
      </c>
      <c r="S6" s="13" t="str">
        <f t="shared" si="4"/>
        <v>T</v>
      </c>
      <c r="T6" s="13" t="str">
        <f t="shared" si="4"/>
        <v>F</v>
      </c>
      <c r="U6" s="13" t="str">
        <f t="shared" si="4"/>
        <v>S</v>
      </c>
      <c r="V6" s="13" t="str">
        <f t="shared" si="4"/>
        <v>S</v>
      </c>
      <c r="W6" s="13" t="str">
        <f t="shared" si="4"/>
        <v>M</v>
      </c>
      <c r="X6" s="13" t="str">
        <f t="shared" si="4"/>
        <v>T</v>
      </c>
      <c r="Y6" s="13" t="str">
        <f t="shared" si="4"/>
        <v>W</v>
      </c>
      <c r="Z6" s="13" t="str">
        <f t="shared" si="4"/>
        <v>T</v>
      </c>
      <c r="AA6" s="13" t="str">
        <f t="shared" si="4"/>
        <v>F</v>
      </c>
      <c r="AB6" s="13" t="str">
        <f t="shared" si="4"/>
        <v>S</v>
      </c>
      <c r="AC6" s="13" t="str">
        <f t="shared" si="4"/>
        <v>S</v>
      </c>
      <c r="AD6" s="13" t="str">
        <f t="shared" si="4"/>
        <v>M</v>
      </c>
      <c r="AE6" s="13" t="str">
        <f t="shared" si="4"/>
        <v>T</v>
      </c>
      <c r="AF6" s="13" t="str">
        <f t="shared" si="4"/>
        <v>W</v>
      </c>
      <c r="AG6" s="13" t="str">
        <f t="shared" si="4"/>
        <v>T</v>
      </c>
      <c r="AH6" s="13" t="str">
        <f t="shared" si="4"/>
        <v>F</v>
      </c>
      <c r="AI6" s="13" t="str">
        <f t="shared" si="4"/>
        <v>S</v>
      </c>
      <c r="AJ6" s="13" t="str">
        <f t="shared" si="4"/>
        <v>S</v>
      </c>
      <c r="AK6" s="13" t="str">
        <f t="shared" si="4"/>
        <v>M</v>
      </c>
      <c r="AL6" s="13" t="str">
        <f t="shared" si="4"/>
        <v>T</v>
      </c>
      <c r="AM6" s="13" t="str">
        <f t="shared" si="4"/>
        <v>W</v>
      </c>
      <c r="AN6" s="13" t="str">
        <f t="shared" si="4"/>
        <v>T</v>
      </c>
      <c r="AO6" s="13" t="str">
        <f t="shared" si="4"/>
        <v>F</v>
      </c>
      <c r="AP6" s="13" t="str">
        <f t="shared" si="4"/>
        <v>S</v>
      </c>
      <c r="AQ6" s="13" t="str">
        <f t="shared" si="4"/>
        <v>S</v>
      </c>
      <c r="AR6" s="13" t="str">
        <f t="shared" si="4"/>
        <v>M</v>
      </c>
      <c r="AS6" s="13" t="str">
        <f t="shared" ref="AS6:BL6" si="5">LEFT(TEXT(AS5,"ddd"),1)</f>
        <v>T</v>
      </c>
      <c r="AT6" s="13" t="str">
        <f t="shared" si="5"/>
        <v>W</v>
      </c>
      <c r="AU6" s="13" t="str">
        <f t="shared" si="5"/>
        <v>T</v>
      </c>
      <c r="AV6" s="13" t="str">
        <f t="shared" si="5"/>
        <v>F</v>
      </c>
      <c r="AW6" s="13" t="str">
        <f t="shared" si="5"/>
        <v>S</v>
      </c>
      <c r="AX6" s="13" t="str">
        <f t="shared" si="5"/>
        <v>S</v>
      </c>
      <c r="AY6" s="13" t="str">
        <f t="shared" si="5"/>
        <v>M</v>
      </c>
      <c r="AZ6" s="13" t="str">
        <f t="shared" si="5"/>
        <v>T</v>
      </c>
      <c r="BA6" s="13" t="str">
        <f t="shared" si="5"/>
        <v>W</v>
      </c>
      <c r="BB6" s="13" t="str">
        <f t="shared" si="5"/>
        <v>T</v>
      </c>
      <c r="BC6" s="13" t="str">
        <f t="shared" si="5"/>
        <v>F</v>
      </c>
      <c r="BD6" s="13" t="str">
        <f t="shared" si="5"/>
        <v>S</v>
      </c>
      <c r="BE6" s="13" t="str">
        <f t="shared" si="5"/>
        <v>S</v>
      </c>
      <c r="BF6" s="13" t="str">
        <f t="shared" si="5"/>
        <v>M</v>
      </c>
      <c r="BG6" s="13" t="str">
        <f t="shared" si="5"/>
        <v>T</v>
      </c>
      <c r="BH6" s="13" t="str">
        <f t="shared" si="5"/>
        <v>W</v>
      </c>
      <c r="BI6" s="13" t="str">
        <f t="shared" si="5"/>
        <v>T</v>
      </c>
      <c r="BJ6" s="13" t="str">
        <f t="shared" si="5"/>
        <v>F</v>
      </c>
      <c r="BK6" s="13" t="str">
        <f t="shared" si="5"/>
        <v>S</v>
      </c>
      <c r="BL6" s="13" t="str">
        <f t="shared" si="5"/>
        <v>S</v>
      </c>
    </row>
    <row r="7" spans="1:64" ht="30" hidden="1" customHeight="1" thickBot="1" x14ac:dyDescent="0.3">
      <c r="A7" s="58" t="s">
        <v>28</v>
      </c>
      <c r="C7" s="62"/>
      <c r="E7"/>
      <c r="H7" t="str">
        <f>IF(OR(ISBLANK(task_start),ISBLANK(task_end)),"",task_end-task_start+1)</f>
        <v/>
      </c>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row>
    <row r="8" spans="1:64" s="3" customFormat="1" ht="30" customHeight="1" thickBot="1" x14ac:dyDescent="0.3">
      <c r="A8" s="59" t="s">
        <v>34</v>
      </c>
      <c r="B8" s="18" t="s">
        <v>38</v>
      </c>
      <c r="C8" s="71"/>
      <c r="D8" s="19"/>
      <c r="E8" s="20"/>
      <c r="F8" s="21"/>
      <c r="G8" s="17"/>
      <c r="H8" s="17" t="str">
        <f t="shared" ref="H8:H33" si="6">IF(OR(ISBLANK(task_start),ISBLANK(task_end)),"",task_end-task_start+1)</f>
        <v/>
      </c>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row>
    <row r="9" spans="1:64" s="3" customFormat="1" ht="30" customHeight="1" thickBot="1" x14ac:dyDescent="0.3">
      <c r="A9" s="59" t="s">
        <v>35</v>
      </c>
      <c r="B9" s="80" t="s">
        <v>39</v>
      </c>
      <c r="C9" s="72" t="s">
        <v>65</v>
      </c>
      <c r="D9" s="22">
        <v>1</v>
      </c>
      <c r="E9" s="66">
        <f>Project_Start</f>
        <v>44438</v>
      </c>
      <c r="F9" s="66">
        <f>E9+0</f>
        <v>44438</v>
      </c>
      <c r="G9" s="17"/>
      <c r="H9" s="17">
        <f t="shared" si="6"/>
        <v>1</v>
      </c>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row>
    <row r="10" spans="1:64" s="3" customFormat="1" ht="30" customHeight="1" thickBot="1" x14ac:dyDescent="0.3">
      <c r="A10" s="59" t="s">
        <v>36</v>
      </c>
      <c r="B10" s="80" t="s">
        <v>40</v>
      </c>
      <c r="C10" s="72" t="s">
        <v>65</v>
      </c>
      <c r="D10" s="22">
        <v>1</v>
      </c>
      <c r="E10" s="66">
        <f>F9</f>
        <v>44438</v>
      </c>
      <c r="F10" s="66">
        <f>E10</f>
        <v>44438</v>
      </c>
      <c r="G10" s="17"/>
      <c r="H10" s="17">
        <f t="shared" si="6"/>
        <v>1</v>
      </c>
      <c r="I10" s="44"/>
      <c r="J10" s="44"/>
      <c r="K10" s="44"/>
      <c r="L10" s="44"/>
      <c r="M10" s="44"/>
      <c r="N10" s="44"/>
      <c r="O10" s="44"/>
      <c r="P10" s="44"/>
      <c r="Q10" s="44"/>
      <c r="R10" s="44"/>
      <c r="S10" s="44"/>
      <c r="T10" s="44"/>
      <c r="U10" s="45"/>
      <c r="V10" s="45"/>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row>
    <row r="11" spans="1:64" s="3" customFormat="1" ht="30" customHeight="1" thickBot="1" x14ac:dyDescent="0.3">
      <c r="A11" s="58"/>
      <c r="B11" s="80" t="s">
        <v>41</v>
      </c>
      <c r="C11" s="72" t="s">
        <v>65</v>
      </c>
      <c r="D11" s="22">
        <v>1</v>
      </c>
      <c r="E11" s="66">
        <f>F10</f>
        <v>44438</v>
      </c>
      <c r="F11" s="66">
        <f>E11</f>
        <v>44438</v>
      </c>
      <c r="G11" s="17"/>
      <c r="H11" s="17">
        <f t="shared" si="6"/>
        <v>1</v>
      </c>
      <c r="I11" s="44"/>
      <c r="J11" s="44"/>
      <c r="K11" s="44"/>
      <c r="L11" s="44"/>
      <c r="M11" s="44"/>
      <c r="N11" s="44"/>
      <c r="O11" s="44"/>
      <c r="P11" s="44"/>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c r="BL11" s="44"/>
    </row>
    <row r="12" spans="1:64" s="3" customFormat="1" ht="30" customHeight="1" thickBot="1" x14ac:dyDescent="0.3">
      <c r="A12" s="58"/>
      <c r="B12" s="80" t="s">
        <v>42</v>
      </c>
      <c r="C12" s="72" t="s">
        <v>65</v>
      </c>
      <c r="D12" s="22">
        <v>1</v>
      </c>
      <c r="E12" s="66">
        <f>F11+1</f>
        <v>44439</v>
      </c>
      <c r="F12" s="66">
        <f>E12</f>
        <v>44439</v>
      </c>
      <c r="G12" s="17"/>
      <c r="H12" s="17">
        <f t="shared" si="6"/>
        <v>1</v>
      </c>
      <c r="I12" s="44"/>
      <c r="J12" s="44"/>
      <c r="K12" s="44"/>
      <c r="L12" s="44"/>
      <c r="M12" s="44"/>
      <c r="N12" s="44"/>
      <c r="O12" s="44"/>
      <c r="P12" s="44"/>
      <c r="Q12" s="44"/>
      <c r="R12" s="44"/>
      <c r="S12" s="44"/>
      <c r="T12" s="44"/>
      <c r="U12" s="44"/>
      <c r="V12" s="44"/>
      <c r="W12" s="44"/>
      <c r="X12" s="44"/>
      <c r="Y12" s="45"/>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row>
    <row r="13" spans="1:64" s="3" customFormat="1" ht="30" customHeight="1" thickBot="1" x14ac:dyDescent="0.3">
      <c r="A13" s="58"/>
      <c r="B13" s="80" t="s">
        <v>43</v>
      </c>
      <c r="C13" s="72" t="s">
        <v>65</v>
      </c>
      <c r="D13" s="22">
        <v>1</v>
      </c>
      <c r="E13" s="66">
        <f>E10+1</f>
        <v>44439</v>
      </c>
      <c r="F13" s="66">
        <f>E13</f>
        <v>44439</v>
      </c>
      <c r="G13" s="17"/>
      <c r="H13" s="17">
        <f t="shared" si="6"/>
        <v>1</v>
      </c>
      <c r="I13" s="44"/>
      <c r="J13" s="44"/>
      <c r="K13" s="44"/>
      <c r="L13" s="44"/>
      <c r="M13" s="44"/>
      <c r="N13" s="44"/>
      <c r="O13" s="44"/>
      <c r="P13" s="44"/>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row>
    <row r="14" spans="1:64" s="3" customFormat="1" ht="30" customHeight="1" thickBot="1" x14ac:dyDescent="0.3">
      <c r="A14" s="59" t="s">
        <v>37</v>
      </c>
      <c r="B14" s="23" t="s">
        <v>47</v>
      </c>
      <c r="C14" s="73"/>
      <c r="D14" s="24"/>
      <c r="E14" s="25"/>
      <c r="F14" s="26"/>
      <c r="G14" s="17"/>
      <c r="H14" s="17" t="str">
        <f t="shared" si="6"/>
        <v/>
      </c>
      <c r="I14" s="44"/>
      <c r="J14" s="44"/>
      <c r="K14" s="44"/>
      <c r="L14" s="44"/>
      <c r="M14" s="44"/>
      <c r="N14" s="44"/>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4"/>
      <c r="BC14" s="44"/>
      <c r="BD14" s="44"/>
      <c r="BE14" s="44"/>
      <c r="BF14" s="44"/>
      <c r="BG14" s="44"/>
      <c r="BH14" s="44"/>
      <c r="BI14" s="44"/>
      <c r="BJ14" s="44"/>
      <c r="BK14" s="44"/>
      <c r="BL14" s="44"/>
    </row>
    <row r="15" spans="1:64" s="3" customFormat="1" ht="30" customHeight="1" thickBot="1" x14ac:dyDescent="0.3">
      <c r="A15" s="59"/>
      <c r="B15" s="81" t="s">
        <v>48</v>
      </c>
      <c r="C15" s="74" t="s">
        <v>65</v>
      </c>
      <c r="D15" s="27">
        <v>1</v>
      </c>
      <c r="E15" s="67">
        <f>E13+1</f>
        <v>44440</v>
      </c>
      <c r="F15" s="67">
        <f>E15</f>
        <v>44440</v>
      </c>
      <c r="G15" s="17"/>
      <c r="H15" s="17">
        <f t="shared" si="6"/>
        <v>1</v>
      </c>
      <c r="I15" s="44"/>
      <c r="J15" s="44"/>
      <c r="K15" s="44"/>
      <c r="L15" s="44"/>
      <c r="M15" s="44"/>
      <c r="N15" s="44"/>
      <c r="O15" s="44"/>
      <c r="P15" s="44"/>
      <c r="Q15" s="44"/>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row>
    <row r="16" spans="1:64" s="3" customFormat="1" ht="30" customHeight="1" thickBot="1" x14ac:dyDescent="0.3">
      <c r="A16" s="58"/>
      <c r="B16" s="81" t="s">
        <v>49</v>
      </c>
      <c r="C16" s="74" t="s">
        <v>65</v>
      </c>
      <c r="D16" s="27">
        <v>1</v>
      </c>
      <c r="E16" s="67">
        <f>E15</f>
        <v>44440</v>
      </c>
      <c r="F16" s="67">
        <f>E16</f>
        <v>44440</v>
      </c>
      <c r="G16" s="17"/>
      <c r="H16" s="17">
        <f t="shared" si="6"/>
        <v>1</v>
      </c>
      <c r="I16" s="44"/>
      <c r="J16" s="44"/>
      <c r="K16" s="44"/>
      <c r="L16" s="44"/>
      <c r="M16" s="44"/>
      <c r="N16" s="44"/>
      <c r="O16" s="44"/>
      <c r="P16" s="44"/>
      <c r="Q16" s="44"/>
      <c r="R16" s="44"/>
      <c r="S16" s="44"/>
      <c r="T16" s="44"/>
      <c r="U16" s="45"/>
      <c r="V16" s="45"/>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c r="AY16" s="44"/>
      <c r="AZ16" s="44"/>
      <c r="BA16" s="44"/>
      <c r="BB16" s="44"/>
      <c r="BC16" s="44"/>
      <c r="BD16" s="44"/>
      <c r="BE16" s="44"/>
      <c r="BF16" s="44"/>
      <c r="BG16" s="44"/>
      <c r="BH16" s="44"/>
      <c r="BI16" s="44"/>
      <c r="BJ16" s="44"/>
      <c r="BK16" s="44"/>
      <c r="BL16" s="44"/>
    </row>
    <row r="17" spans="1:64" s="3" customFormat="1" ht="30" customHeight="1" thickBot="1" x14ac:dyDescent="0.3">
      <c r="A17" s="58"/>
      <c r="B17" s="81" t="s">
        <v>50</v>
      </c>
      <c r="C17" s="74" t="s">
        <v>65</v>
      </c>
      <c r="D17" s="27">
        <v>1</v>
      </c>
      <c r="E17" s="67">
        <f>F16+1</f>
        <v>44441</v>
      </c>
      <c r="F17" s="67">
        <f>E17</f>
        <v>44441</v>
      </c>
      <c r="G17" s="17"/>
      <c r="H17" s="17">
        <f t="shared" si="6"/>
        <v>1</v>
      </c>
      <c r="I17" s="44"/>
      <c r="J17" s="44"/>
      <c r="K17" s="44"/>
      <c r="L17" s="44"/>
      <c r="M17" s="44"/>
      <c r="N17" s="44"/>
      <c r="O17" s="44"/>
      <c r="P17" s="44"/>
      <c r="Q17" s="44"/>
      <c r="R17" s="44"/>
      <c r="S17" s="44"/>
      <c r="T17" s="44"/>
      <c r="U17" s="44"/>
      <c r="V17" s="44"/>
      <c r="W17" s="44"/>
      <c r="X17" s="44"/>
      <c r="Y17" s="44"/>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c r="AY17" s="44"/>
      <c r="AZ17" s="44"/>
      <c r="BA17" s="44"/>
      <c r="BB17" s="44"/>
      <c r="BC17" s="44"/>
      <c r="BD17" s="44"/>
      <c r="BE17" s="44"/>
      <c r="BF17" s="44"/>
      <c r="BG17" s="44"/>
      <c r="BH17" s="44"/>
      <c r="BI17" s="44"/>
      <c r="BJ17" s="44"/>
      <c r="BK17" s="44"/>
      <c r="BL17" s="44"/>
    </row>
    <row r="18" spans="1:64" s="3" customFormat="1" ht="30" customHeight="1" thickBot="1" x14ac:dyDescent="0.3">
      <c r="A18" s="58"/>
      <c r="B18" s="81" t="s">
        <v>51</v>
      </c>
      <c r="C18" s="74" t="s">
        <v>65</v>
      </c>
      <c r="D18" s="27">
        <v>1</v>
      </c>
      <c r="E18" s="67">
        <f>E17</f>
        <v>44441</v>
      </c>
      <c r="F18" s="67">
        <f>E18</f>
        <v>44441</v>
      </c>
      <c r="G18" s="17"/>
      <c r="H18" s="17">
        <f t="shared" si="6"/>
        <v>1</v>
      </c>
      <c r="I18" s="44"/>
      <c r="J18" s="44"/>
      <c r="K18" s="44"/>
      <c r="L18" s="44"/>
      <c r="M18" s="44"/>
      <c r="N18" s="44"/>
      <c r="O18" s="44"/>
      <c r="P18" s="44"/>
      <c r="Q18" s="44"/>
      <c r="R18" s="44"/>
      <c r="S18" s="44"/>
      <c r="T18" s="44"/>
      <c r="U18" s="44"/>
      <c r="V18" s="44"/>
      <c r="W18" s="44"/>
      <c r="X18" s="44"/>
      <c r="Y18" s="45"/>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c r="AY18" s="44"/>
      <c r="AZ18" s="44"/>
      <c r="BA18" s="44"/>
      <c r="BB18" s="44"/>
      <c r="BC18" s="44"/>
      <c r="BD18" s="44"/>
      <c r="BE18" s="44"/>
      <c r="BF18" s="44"/>
      <c r="BG18" s="44"/>
      <c r="BH18" s="44"/>
      <c r="BI18" s="44"/>
      <c r="BJ18" s="44"/>
      <c r="BK18" s="44"/>
      <c r="BL18" s="44"/>
    </row>
    <row r="19" spans="1:64" s="3" customFormat="1" ht="30" customHeight="1" thickBot="1" x14ac:dyDescent="0.3">
      <c r="A19" s="58"/>
      <c r="B19" s="81" t="s">
        <v>52</v>
      </c>
      <c r="C19" s="74" t="s">
        <v>65</v>
      </c>
      <c r="D19" s="27">
        <v>1</v>
      </c>
      <c r="E19" s="67">
        <f>E18</f>
        <v>44441</v>
      </c>
      <c r="F19" s="67">
        <f>E19+1</f>
        <v>44442</v>
      </c>
      <c r="G19" s="17"/>
      <c r="H19" s="17">
        <f t="shared" si="6"/>
        <v>2</v>
      </c>
      <c r="I19" s="44"/>
      <c r="J19" s="44"/>
      <c r="K19" s="44"/>
      <c r="L19" s="44"/>
      <c r="M19" s="44"/>
      <c r="N19" s="44"/>
      <c r="O19" s="44"/>
      <c r="P19" s="44"/>
      <c r="Q19" s="44"/>
      <c r="R19" s="44"/>
      <c r="S19" s="44"/>
      <c r="T19" s="44"/>
      <c r="U19" s="44"/>
      <c r="V19" s="44"/>
      <c r="W19" s="44"/>
      <c r="X19" s="44"/>
      <c r="Y19" s="44"/>
      <c r="Z19" s="44"/>
      <c r="AA19" s="44"/>
      <c r="AB19" s="44"/>
      <c r="AC19" s="44"/>
      <c r="AD19" s="44"/>
      <c r="AE19" s="44"/>
      <c r="AF19" s="44"/>
      <c r="AG19" s="44"/>
      <c r="AH19" s="44"/>
      <c r="AI19" s="44"/>
      <c r="AJ19" s="44"/>
      <c r="AK19" s="44"/>
      <c r="AL19" s="44"/>
      <c r="AM19" s="44"/>
      <c r="AN19" s="44"/>
      <c r="AO19" s="44"/>
      <c r="AP19" s="44"/>
      <c r="AQ19" s="44"/>
      <c r="AR19" s="44"/>
      <c r="AS19" s="44"/>
      <c r="AT19" s="44"/>
      <c r="AU19" s="44"/>
      <c r="AV19" s="44"/>
      <c r="AW19" s="44"/>
      <c r="AX19" s="44"/>
      <c r="AY19" s="44"/>
      <c r="AZ19" s="44"/>
      <c r="BA19" s="44"/>
      <c r="BB19" s="44"/>
      <c r="BC19" s="44"/>
      <c r="BD19" s="44"/>
      <c r="BE19" s="44"/>
      <c r="BF19" s="44"/>
      <c r="BG19" s="44"/>
      <c r="BH19" s="44"/>
      <c r="BI19" s="44"/>
      <c r="BJ19" s="44"/>
      <c r="BK19" s="44"/>
      <c r="BL19" s="44"/>
    </row>
    <row r="20" spans="1:64" s="3" customFormat="1" ht="30" customHeight="1" thickBot="1" x14ac:dyDescent="0.3">
      <c r="A20" s="58" t="s">
        <v>25</v>
      </c>
      <c r="B20" s="28" t="s">
        <v>53</v>
      </c>
      <c r="C20" s="75"/>
      <c r="D20" s="29"/>
      <c r="E20" s="30"/>
      <c r="F20" s="31"/>
      <c r="G20" s="17"/>
      <c r="H20" s="17" t="str">
        <f t="shared" si="6"/>
        <v/>
      </c>
      <c r="I20" s="44"/>
      <c r="J20" s="44"/>
      <c r="K20" s="44"/>
      <c r="L20" s="44"/>
      <c r="M20" s="44"/>
      <c r="N20" s="44"/>
      <c r="O20" s="44"/>
      <c r="P20" s="44"/>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c r="AY20" s="44"/>
      <c r="AZ20" s="44"/>
      <c r="BA20" s="44"/>
      <c r="BB20" s="44"/>
      <c r="BC20" s="44"/>
      <c r="BD20" s="44"/>
      <c r="BE20" s="44"/>
      <c r="BF20" s="44"/>
      <c r="BG20" s="44"/>
      <c r="BH20" s="44"/>
      <c r="BI20" s="44"/>
      <c r="BJ20" s="44"/>
      <c r="BK20" s="44"/>
      <c r="BL20" s="44"/>
    </row>
    <row r="21" spans="1:64" s="3" customFormat="1" ht="30" customHeight="1" thickBot="1" x14ac:dyDescent="0.3">
      <c r="A21" s="58"/>
      <c r="B21" s="82" t="s">
        <v>54</v>
      </c>
      <c r="C21" s="76" t="s">
        <v>65</v>
      </c>
      <c r="D21" s="32">
        <v>1</v>
      </c>
      <c r="E21" s="68">
        <f>E9+5</f>
        <v>44443</v>
      </c>
      <c r="F21" s="68">
        <f>E21</f>
        <v>44443</v>
      </c>
      <c r="G21" s="17"/>
      <c r="H21" s="17">
        <f t="shared" si="6"/>
        <v>1</v>
      </c>
      <c r="I21" s="44"/>
      <c r="J21" s="44"/>
      <c r="K21" s="44"/>
      <c r="L21" s="44"/>
      <c r="M21" s="44"/>
      <c r="N21" s="44"/>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4"/>
      <c r="BC21" s="44"/>
      <c r="BD21" s="44"/>
      <c r="BE21" s="44"/>
      <c r="BF21" s="44"/>
      <c r="BG21" s="44"/>
      <c r="BH21" s="44"/>
      <c r="BI21" s="44"/>
      <c r="BJ21" s="44"/>
      <c r="BK21" s="44"/>
      <c r="BL21" s="44"/>
    </row>
    <row r="22" spans="1:64" s="3" customFormat="1" ht="30" customHeight="1" thickBot="1" x14ac:dyDescent="0.3">
      <c r="A22" s="58"/>
      <c r="B22" s="82" t="s">
        <v>55</v>
      </c>
      <c r="C22" s="76" t="s">
        <v>65</v>
      </c>
      <c r="D22" s="32">
        <v>1</v>
      </c>
      <c r="E22" s="68">
        <f>F21</f>
        <v>44443</v>
      </c>
      <c r="F22" s="68">
        <f>E22</f>
        <v>44443</v>
      </c>
      <c r="G22" s="17"/>
      <c r="H22" s="17">
        <f t="shared" si="6"/>
        <v>1</v>
      </c>
      <c r="I22" s="44"/>
      <c r="J22" s="44"/>
      <c r="K22" s="44"/>
      <c r="L22" s="44"/>
      <c r="M22" s="44"/>
      <c r="N22" s="44"/>
      <c r="O22" s="44"/>
      <c r="P22" s="44"/>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c r="AV22" s="44"/>
      <c r="AW22" s="44"/>
      <c r="AX22" s="44"/>
      <c r="AY22" s="44"/>
      <c r="AZ22" s="44"/>
      <c r="BA22" s="44"/>
      <c r="BB22" s="44"/>
      <c r="BC22" s="44"/>
      <c r="BD22" s="44"/>
      <c r="BE22" s="44"/>
      <c r="BF22" s="44"/>
      <c r="BG22" s="44"/>
      <c r="BH22" s="44"/>
      <c r="BI22" s="44"/>
      <c r="BJ22" s="44"/>
      <c r="BK22" s="44"/>
      <c r="BL22" s="44"/>
    </row>
    <row r="23" spans="1:64" s="3" customFormat="1" ht="30" customHeight="1" thickBot="1" x14ac:dyDescent="0.3">
      <c r="A23" s="58"/>
      <c r="B23" s="82" t="s">
        <v>56</v>
      </c>
      <c r="C23" s="76" t="s">
        <v>65</v>
      </c>
      <c r="D23" s="32">
        <v>1</v>
      </c>
      <c r="E23" s="68">
        <f>E22</f>
        <v>44443</v>
      </c>
      <c r="F23" s="68">
        <f>E23+1</f>
        <v>44444</v>
      </c>
      <c r="G23" s="17"/>
      <c r="H23" s="17">
        <f t="shared" si="6"/>
        <v>2</v>
      </c>
      <c r="I23" s="44"/>
      <c r="J23" s="44"/>
      <c r="K23" s="44"/>
      <c r="L23" s="44"/>
      <c r="M23" s="44"/>
      <c r="N23" s="44"/>
      <c r="O23" s="44"/>
      <c r="P23" s="44"/>
      <c r="Q23" s="44"/>
      <c r="R23" s="44"/>
      <c r="S23" s="44"/>
      <c r="T23" s="44"/>
      <c r="U23" s="44"/>
      <c r="V23" s="44"/>
      <c r="W23" s="44"/>
      <c r="X23" s="44"/>
      <c r="Y23" s="44"/>
      <c r="Z23" s="44"/>
      <c r="AA23" s="44"/>
      <c r="AB23" s="44"/>
      <c r="AC23" s="44"/>
      <c r="AD23" s="44"/>
      <c r="AE23" s="44"/>
      <c r="AF23" s="44"/>
      <c r="AG23" s="44"/>
      <c r="AH23" s="44"/>
      <c r="AI23" s="44"/>
      <c r="AJ23" s="44"/>
      <c r="AK23" s="44"/>
      <c r="AL23" s="44"/>
      <c r="AM23" s="44"/>
      <c r="AN23" s="44"/>
      <c r="AO23" s="44"/>
      <c r="AP23" s="44"/>
      <c r="AQ23" s="44"/>
      <c r="AR23" s="44"/>
      <c r="AS23" s="44"/>
      <c r="AT23" s="44"/>
      <c r="AU23" s="44"/>
      <c r="AV23" s="44"/>
      <c r="AW23" s="44"/>
      <c r="AX23" s="44"/>
      <c r="AY23" s="44"/>
      <c r="AZ23" s="44"/>
      <c r="BA23" s="44"/>
      <c r="BB23" s="44"/>
      <c r="BC23" s="44"/>
      <c r="BD23" s="44"/>
      <c r="BE23" s="44"/>
      <c r="BF23" s="44"/>
      <c r="BG23" s="44"/>
      <c r="BH23" s="44"/>
      <c r="BI23" s="44"/>
      <c r="BJ23" s="44"/>
      <c r="BK23" s="44"/>
      <c r="BL23" s="44"/>
    </row>
    <row r="24" spans="1:64" s="3" customFormat="1" ht="30" customHeight="1" thickBot="1" x14ac:dyDescent="0.3">
      <c r="A24" s="58"/>
      <c r="B24" s="82" t="s">
        <v>57</v>
      </c>
      <c r="C24" s="76" t="s">
        <v>65</v>
      </c>
      <c r="D24" s="32">
        <v>1</v>
      </c>
      <c r="E24" s="68">
        <f>F23</f>
        <v>44444</v>
      </c>
      <c r="F24" s="68">
        <f>E24</f>
        <v>44444</v>
      </c>
      <c r="G24" s="17"/>
      <c r="H24" s="17">
        <f t="shared" si="6"/>
        <v>1</v>
      </c>
      <c r="I24" s="44"/>
      <c r="J24" s="44"/>
      <c r="K24" s="44"/>
      <c r="L24" s="44"/>
      <c r="M24" s="44"/>
      <c r="N24" s="44"/>
      <c r="O24" s="44"/>
      <c r="P24" s="44"/>
      <c r="Q24" s="44"/>
      <c r="R24" s="44"/>
      <c r="S24" s="44"/>
      <c r="T24" s="44"/>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c r="AV24" s="44"/>
      <c r="AW24" s="44"/>
      <c r="AX24" s="44"/>
      <c r="AY24" s="44"/>
      <c r="AZ24" s="44"/>
      <c r="BA24" s="44"/>
      <c r="BB24" s="44"/>
      <c r="BC24" s="44"/>
      <c r="BD24" s="44"/>
      <c r="BE24" s="44"/>
      <c r="BF24" s="44"/>
      <c r="BG24" s="44"/>
      <c r="BH24" s="44"/>
      <c r="BI24" s="44"/>
      <c r="BJ24" s="44"/>
      <c r="BK24" s="44"/>
      <c r="BL24" s="44"/>
    </row>
    <row r="25" spans="1:64" s="3" customFormat="1" ht="30" customHeight="1" thickBot="1" x14ac:dyDescent="0.3">
      <c r="A25" s="58"/>
      <c r="B25" s="82" t="s">
        <v>58</v>
      </c>
      <c r="C25" s="76" t="s">
        <v>65</v>
      </c>
      <c r="D25" s="32">
        <v>1</v>
      </c>
      <c r="E25" s="68">
        <f>E24</f>
        <v>44444</v>
      </c>
      <c r="F25" s="68">
        <f>E25</f>
        <v>44444</v>
      </c>
      <c r="G25" s="17"/>
      <c r="H25" s="17">
        <f t="shared" si="6"/>
        <v>1</v>
      </c>
      <c r="I25" s="44"/>
      <c r="J25" s="44"/>
      <c r="K25" s="44"/>
      <c r="L25" s="44"/>
      <c r="M25" s="44"/>
      <c r="N25" s="44"/>
      <c r="O25" s="44"/>
      <c r="P25" s="44"/>
      <c r="Q25" s="44"/>
      <c r="R25" s="44"/>
      <c r="S25" s="44"/>
      <c r="T25" s="44"/>
      <c r="U25" s="44"/>
      <c r="V25" s="44"/>
      <c r="W25" s="44"/>
      <c r="X25" s="44"/>
      <c r="Y25" s="44"/>
      <c r="Z25" s="44"/>
      <c r="AA25" s="44"/>
      <c r="AB25" s="44"/>
      <c r="AC25" s="44"/>
      <c r="AD25" s="44"/>
      <c r="AE25" s="44"/>
      <c r="AF25" s="44"/>
      <c r="AG25" s="44"/>
      <c r="AH25" s="44"/>
      <c r="AI25" s="44"/>
      <c r="AJ25" s="44"/>
      <c r="AK25" s="44"/>
      <c r="AL25" s="44"/>
      <c r="AM25" s="44"/>
      <c r="AN25" s="44"/>
      <c r="AO25" s="44"/>
      <c r="AP25" s="44"/>
      <c r="AQ25" s="44"/>
      <c r="AR25" s="44"/>
      <c r="AS25" s="44"/>
      <c r="AT25" s="44"/>
      <c r="AU25" s="44"/>
      <c r="AV25" s="44"/>
      <c r="AW25" s="44"/>
      <c r="AX25" s="44"/>
      <c r="AY25" s="44"/>
      <c r="AZ25" s="44"/>
      <c r="BA25" s="44"/>
      <c r="BB25" s="44"/>
      <c r="BC25" s="44"/>
      <c r="BD25" s="44"/>
      <c r="BE25" s="44"/>
      <c r="BF25" s="44"/>
      <c r="BG25" s="44"/>
      <c r="BH25" s="44"/>
      <c r="BI25" s="44"/>
      <c r="BJ25" s="44"/>
      <c r="BK25" s="44"/>
      <c r="BL25" s="44"/>
    </row>
    <row r="26" spans="1:64" s="3" customFormat="1" ht="30" customHeight="1" thickBot="1" x14ac:dyDescent="0.3">
      <c r="A26" s="58" t="s">
        <v>25</v>
      </c>
      <c r="B26" s="33" t="s">
        <v>59</v>
      </c>
      <c r="C26" s="77"/>
      <c r="D26" s="34"/>
      <c r="E26" s="35"/>
      <c r="F26" s="36"/>
      <c r="G26" s="17"/>
      <c r="H26" s="17" t="str">
        <f t="shared" si="6"/>
        <v/>
      </c>
      <c r="I26" s="44"/>
      <c r="J26" s="44"/>
      <c r="K26" s="44"/>
      <c r="L26" s="44"/>
      <c r="M26" s="44"/>
      <c r="N26" s="44"/>
      <c r="O26" s="44"/>
      <c r="P26" s="44"/>
      <c r="Q26" s="44"/>
      <c r="R26" s="44"/>
      <c r="S26" s="44"/>
      <c r="T26" s="44"/>
      <c r="U26" s="44"/>
      <c r="V26" s="44"/>
      <c r="W26" s="44"/>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c r="AV26" s="44"/>
      <c r="AW26" s="44"/>
      <c r="AX26" s="44"/>
      <c r="AY26" s="44"/>
      <c r="AZ26" s="44"/>
      <c r="BA26" s="44"/>
      <c r="BB26" s="44"/>
      <c r="BC26" s="44"/>
      <c r="BD26" s="44"/>
      <c r="BE26" s="44"/>
      <c r="BF26" s="44"/>
      <c r="BG26" s="44"/>
      <c r="BH26" s="44"/>
      <c r="BI26" s="44"/>
      <c r="BJ26" s="44"/>
      <c r="BK26" s="44"/>
      <c r="BL26" s="44"/>
    </row>
    <row r="27" spans="1:64" s="3" customFormat="1" ht="30" customHeight="1" thickBot="1" x14ac:dyDescent="0.3">
      <c r="A27" s="58"/>
      <c r="B27" s="83" t="s">
        <v>60</v>
      </c>
      <c r="C27" s="78" t="s">
        <v>65</v>
      </c>
      <c r="D27" s="37">
        <v>1</v>
      </c>
      <c r="E27" s="69">
        <f>E25</f>
        <v>44444</v>
      </c>
      <c r="F27" s="69">
        <f>E25+1</f>
        <v>44445</v>
      </c>
      <c r="G27" s="17"/>
      <c r="H27" s="17">
        <f t="shared" si="6"/>
        <v>2</v>
      </c>
      <c r="I27" s="44"/>
      <c r="J27" s="44"/>
      <c r="K27" s="44"/>
      <c r="L27" s="44"/>
      <c r="M27" s="44"/>
      <c r="N27" s="44"/>
      <c r="O27" s="44"/>
      <c r="P27" s="44"/>
      <c r="Q27" s="44"/>
      <c r="R27" s="44"/>
      <c r="S27" s="44"/>
      <c r="T27" s="44"/>
      <c r="U27" s="44"/>
      <c r="V27" s="44"/>
      <c r="W27" s="44"/>
      <c r="X27" s="44"/>
      <c r="Y27" s="44"/>
      <c r="Z27" s="44"/>
      <c r="AA27" s="44"/>
      <c r="AB27" s="44"/>
      <c r="AC27" s="44"/>
      <c r="AD27" s="44"/>
      <c r="AE27" s="44"/>
      <c r="AF27" s="44"/>
      <c r="AG27" s="44"/>
      <c r="AH27" s="44"/>
      <c r="AI27" s="44"/>
      <c r="AJ27" s="44"/>
      <c r="AK27" s="44"/>
      <c r="AL27" s="44"/>
      <c r="AM27" s="44"/>
      <c r="AN27" s="44"/>
      <c r="AO27" s="44"/>
      <c r="AP27" s="44"/>
      <c r="AQ27" s="44"/>
      <c r="AR27" s="44"/>
      <c r="AS27" s="44"/>
      <c r="AT27" s="44"/>
      <c r="AU27" s="44"/>
      <c r="AV27" s="44"/>
      <c r="AW27" s="44"/>
      <c r="AX27" s="44"/>
      <c r="AY27" s="44"/>
      <c r="AZ27" s="44"/>
      <c r="BA27" s="44"/>
      <c r="BB27" s="44"/>
      <c r="BC27" s="44"/>
      <c r="BD27" s="44"/>
      <c r="BE27" s="44"/>
      <c r="BF27" s="44"/>
      <c r="BG27" s="44"/>
      <c r="BH27" s="44"/>
      <c r="BI27" s="44"/>
      <c r="BJ27" s="44"/>
      <c r="BK27" s="44"/>
      <c r="BL27" s="44"/>
    </row>
    <row r="28" spans="1:64" s="3" customFormat="1" ht="30" customHeight="1" thickBot="1" x14ac:dyDescent="0.3">
      <c r="A28" s="58"/>
      <c r="B28" s="83" t="s">
        <v>61</v>
      </c>
      <c r="C28" s="78" t="s">
        <v>65</v>
      </c>
      <c r="D28" s="37">
        <v>1</v>
      </c>
      <c r="E28" s="69">
        <f>E25+1</f>
        <v>44445</v>
      </c>
      <c r="F28" s="69">
        <f>E25+1</f>
        <v>44445</v>
      </c>
      <c r="G28" s="17"/>
      <c r="H28" s="17">
        <f t="shared" si="6"/>
        <v>1</v>
      </c>
      <c r="I28" s="44"/>
      <c r="J28" s="44"/>
      <c r="K28" s="44"/>
      <c r="L28" s="44"/>
      <c r="M28" s="44"/>
      <c r="N28" s="44"/>
      <c r="O28" s="44"/>
      <c r="P28" s="44"/>
      <c r="Q28" s="44"/>
      <c r="R28" s="44"/>
      <c r="S28" s="44"/>
      <c r="T28" s="44"/>
      <c r="U28" s="44"/>
      <c r="V28" s="44"/>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c r="AV28" s="44"/>
      <c r="AW28" s="44"/>
      <c r="AX28" s="44"/>
      <c r="AY28" s="44"/>
      <c r="AZ28" s="44"/>
      <c r="BA28" s="44"/>
      <c r="BB28" s="44"/>
      <c r="BC28" s="44"/>
      <c r="BD28" s="44"/>
      <c r="BE28" s="44"/>
      <c r="BF28" s="44"/>
      <c r="BG28" s="44"/>
      <c r="BH28" s="44"/>
      <c r="BI28" s="44"/>
      <c r="BJ28" s="44"/>
      <c r="BK28" s="44"/>
      <c r="BL28" s="44"/>
    </row>
    <row r="29" spans="1:64" s="3" customFormat="1" ht="30" customHeight="1" thickBot="1" x14ac:dyDescent="0.3">
      <c r="A29" s="58"/>
      <c r="B29" s="83" t="s">
        <v>62</v>
      </c>
      <c r="C29" s="78" t="s">
        <v>65</v>
      </c>
      <c r="D29" s="37">
        <v>1</v>
      </c>
      <c r="E29" s="69">
        <f>E25+1</f>
        <v>44445</v>
      </c>
      <c r="F29" s="69">
        <f>E25+1</f>
        <v>44445</v>
      </c>
      <c r="G29" s="17"/>
      <c r="H29" s="17">
        <f t="shared" si="6"/>
        <v>1</v>
      </c>
      <c r="I29" s="44"/>
      <c r="J29" s="44"/>
      <c r="K29" s="44"/>
      <c r="L29" s="44"/>
      <c r="M29" s="44"/>
      <c r="N29" s="44"/>
      <c r="O29" s="44"/>
      <c r="P29" s="44"/>
      <c r="Q29" s="44"/>
      <c r="R29" s="44"/>
      <c r="S29" s="44"/>
      <c r="T29" s="44"/>
      <c r="U29" s="44"/>
      <c r="V29" s="44"/>
      <c r="W29" s="44"/>
      <c r="X29" s="44"/>
      <c r="Y29" s="44"/>
      <c r="Z29" s="44"/>
      <c r="AA29" s="44"/>
      <c r="AB29" s="44"/>
      <c r="AC29" s="44"/>
      <c r="AD29" s="44"/>
      <c r="AE29" s="44"/>
      <c r="AF29" s="44"/>
      <c r="AG29" s="44"/>
      <c r="AH29" s="44"/>
      <c r="AI29" s="44"/>
      <c r="AJ29" s="44"/>
      <c r="AK29" s="44"/>
      <c r="AL29" s="44"/>
      <c r="AM29" s="44"/>
      <c r="AN29" s="44"/>
      <c r="AO29" s="44"/>
      <c r="AP29" s="44"/>
      <c r="AQ29" s="44"/>
      <c r="AR29" s="44"/>
      <c r="AS29" s="44"/>
      <c r="AT29" s="44"/>
      <c r="AU29" s="44"/>
      <c r="AV29" s="44"/>
      <c r="AW29" s="44"/>
      <c r="AX29" s="44"/>
      <c r="AY29" s="44"/>
      <c r="AZ29" s="44"/>
      <c r="BA29" s="44"/>
      <c r="BB29" s="44"/>
      <c r="BC29" s="44"/>
      <c r="BD29" s="44"/>
      <c r="BE29" s="44"/>
      <c r="BF29" s="44"/>
      <c r="BG29" s="44"/>
      <c r="BH29" s="44"/>
      <c r="BI29" s="44"/>
      <c r="BJ29" s="44"/>
      <c r="BK29" s="44"/>
      <c r="BL29" s="44"/>
    </row>
    <row r="30" spans="1:64" s="3" customFormat="1" ht="30" customHeight="1" thickBot="1" x14ac:dyDescent="0.3">
      <c r="A30" s="58"/>
      <c r="B30" s="83" t="s">
        <v>63</v>
      </c>
      <c r="C30" s="78" t="s">
        <v>65</v>
      </c>
      <c r="D30" s="37">
        <v>1</v>
      </c>
      <c r="E30" s="69">
        <f>E25+2</f>
        <v>44446</v>
      </c>
      <c r="F30" s="69">
        <f>E25+2</f>
        <v>44446</v>
      </c>
      <c r="G30" s="17"/>
      <c r="H30" s="17">
        <f t="shared" si="6"/>
        <v>1</v>
      </c>
      <c r="I30" s="44"/>
      <c r="J30" s="44"/>
      <c r="K30" s="44"/>
      <c r="L30" s="44"/>
      <c r="M30" s="44"/>
      <c r="N30" s="44"/>
      <c r="O30" s="44"/>
      <c r="P30" s="44"/>
      <c r="Q30" s="44"/>
      <c r="R30" s="44"/>
      <c r="S30" s="44"/>
      <c r="T30" s="44"/>
      <c r="U30" s="44"/>
      <c r="V30" s="44"/>
      <c r="W30" s="44"/>
      <c r="X30" s="44"/>
      <c r="Y30" s="44"/>
      <c r="Z30" s="44"/>
      <c r="AA30" s="44"/>
      <c r="AB30" s="44"/>
      <c r="AC30" s="44"/>
      <c r="AD30" s="44"/>
      <c r="AE30" s="44"/>
      <c r="AF30" s="44"/>
      <c r="AG30" s="44"/>
      <c r="AH30" s="44"/>
      <c r="AI30" s="44"/>
      <c r="AJ30" s="44"/>
      <c r="AK30" s="44"/>
      <c r="AL30" s="44"/>
      <c r="AM30" s="44"/>
      <c r="AN30" s="44"/>
      <c r="AO30" s="44"/>
      <c r="AP30" s="44"/>
      <c r="AQ30" s="44"/>
      <c r="AR30" s="44"/>
      <c r="AS30" s="44"/>
      <c r="AT30" s="44"/>
      <c r="AU30" s="44"/>
      <c r="AV30" s="44"/>
      <c r="AW30" s="44"/>
      <c r="AX30" s="44"/>
      <c r="AY30" s="44"/>
      <c r="AZ30" s="44"/>
      <c r="BA30" s="44"/>
      <c r="BB30" s="44"/>
      <c r="BC30" s="44"/>
      <c r="BD30" s="44"/>
      <c r="BE30" s="44"/>
      <c r="BF30" s="44"/>
      <c r="BG30" s="44"/>
      <c r="BH30" s="44"/>
      <c r="BI30" s="44"/>
      <c r="BJ30" s="44"/>
      <c r="BK30" s="44"/>
      <c r="BL30" s="44"/>
    </row>
    <row r="31" spans="1:64" s="3" customFormat="1" ht="30" customHeight="1" thickBot="1" x14ac:dyDescent="0.3">
      <c r="A31" s="58"/>
      <c r="B31" s="83" t="s">
        <v>64</v>
      </c>
      <c r="C31" s="78" t="s">
        <v>65</v>
      </c>
      <c r="D31" s="37">
        <v>1</v>
      </c>
      <c r="E31" s="69">
        <f>E25+2</f>
        <v>44446</v>
      </c>
      <c r="F31" s="69">
        <f>E25+3</f>
        <v>44447</v>
      </c>
      <c r="G31" s="17"/>
      <c r="H31" s="17">
        <f t="shared" si="6"/>
        <v>2</v>
      </c>
      <c r="I31" s="44"/>
      <c r="J31" s="44"/>
      <c r="K31" s="44"/>
      <c r="L31" s="44"/>
      <c r="M31" s="44"/>
      <c r="N31" s="44"/>
      <c r="O31" s="44"/>
      <c r="P31" s="44"/>
      <c r="Q31" s="44"/>
      <c r="R31" s="44"/>
      <c r="S31" s="44"/>
      <c r="T31" s="44"/>
      <c r="U31" s="44"/>
      <c r="V31" s="44"/>
      <c r="W31" s="44"/>
      <c r="X31" s="44"/>
      <c r="Y31" s="44"/>
      <c r="Z31" s="44"/>
      <c r="AA31" s="44"/>
      <c r="AB31" s="44"/>
      <c r="AC31" s="44"/>
      <c r="AD31" s="44"/>
      <c r="AE31" s="44"/>
      <c r="AF31" s="44"/>
      <c r="AG31" s="44"/>
      <c r="AH31" s="44"/>
      <c r="AI31" s="44"/>
      <c r="AJ31" s="44"/>
      <c r="AK31" s="44"/>
      <c r="AL31" s="44"/>
      <c r="AM31" s="44"/>
      <c r="AN31" s="44"/>
      <c r="AO31" s="44"/>
      <c r="AP31" s="44"/>
      <c r="AQ31" s="44"/>
      <c r="AR31" s="44"/>
      <c r="AS31" s="44"/>
      <c r="AT31" s="44"/>
      <c r="AU31" s="44"/>
      <c r="AV31" s="44"/>
      <c r="AW31" s="44"/>
      <c r="AX31" s="44"/>
      <c r="AY31" s="44"/>
      <c r="AZ31" s="44"/>
      <c r="BA31" s="44"/>
      <c r="BB31" s="44"/>
      <c r="BC31" s="44"/>
      <c r="BD31" s="44"/>
      <c r="BE31" s="44"/>
      <c r="BF31" s="44"/>
      <c r="BG31" s="44"/>
      <c r="BH31" s="44"/>
      <c r="BI31" s="44"/>
      <c r="BJ31" s="44"/>
      <c r="BK31" s="44"/>
      <c r="BL31" s="44"/>
    </row>
    <row r="32" spans="1:64" s="3" customFormat="1" ht="30" customHeight="1" thickBot="1" x14ac:dyDescent="0.3">
      <c r="A32" s="58" t="s">
        <v>27</v>
      </c>
      <c r="B32" s="84"/>
      <c r="C32" s="79"/>
      <c r="D32" s="16"/>
      <c r="E32" s="70"/>
      <c r="F32" s="70"/>
      <c r="G32" s="17"/>
      <c r="H32" s="17" t="str">
        <f t="shared" si="6"/>
        <v/>
      </c>
      <c r="I32" s="44"/>
      <c r="J32" s="44"/>
      <c r="K32" s="44"/>
      <c r="L32" s="44"/>
      <c r="M32" s="44"/>
      <c r="N32" s="44"/>
      <c r="O32" s="44"/>
      <c r="P32" s="44"/>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c r="AV32" s="44"/>
      <c r="AW32" s="44"/>
      <c r="AX32" s="44"/>
      <c r="AY32" s="44"/>
      <c r="AZ32" s="44"/>
      <c r="BA32" s="44"/>
      <c r="BB32" s="44"/>
      <c r="BC32" s="44"/>
      <c r="BD32" s="44"/>
      <c r="BE32" s="44"/>
      <c r="BF32" s="44"/>
      <c r="BG32" s="44"/>
      <c r="BH32" s="44"/>
      <c r="BI32" s="44"/>
      <c r="BJ32" s="44"/>
      <c r="BK32" s="44"/>
      <c r="BL32" s="44"/>
    </row>
    <row r="33" spans="1:64" s="3" customFormat="1" ht="30" customHeight="1" thickBot="1" x14ac:dyDescent="0.3">
      <c r="A33" s="59" t="s">
        <v>26</v>
      </c>
      <c r="B33" s="38" t="s">
        <v>0</v>
      </c>
      <c r="C33" s="39"/>
      <c r="D33" s="40"/>
      <c r="E33" s="41"/>
      <c r="F33" s="42"/>
      <c r="G33" s="43"/>
      <c r="H33" s="43" t="str">
        <f t="shared" si="6"/>
        <v/>
      </c>
      <c r="I33" s="46"/>
      <c r="J33" s="46"/>
      <c r="K33" s="46"/>
      <c r="L33" s="46"/>
      <c r="M33" s="46"/>
      <c r="N33" s="46"/>
      <c r="O33" s="46"/>
      <c r="P33" s="46"/>
      <c r="Q33" s="46"/>
      <c r="R33" s="46"/>
      <c r="S33" s="46"/>
      <c r="T33" s="46"/>
      <c r="U33" s="46"/>
      <c r="V33" s="46"/>
      <c r="W33" s="46"/>
      <c r="X33" s="46"/>
      <c r="Y33" s="46"/>
      <c r="Z33" s="46"/>
      <c r="AA33" s="46"/>
      <c r="AB33" s="46"/>
      <c r="AC33" s="46"/>
      <c r="AD33" s="46"/>
      <c r="AE33" s="46"/>
      <c r="AF33" s="46"/>
      <c r="AG33" s="46"/>
      <c r="AH33" s="46"/>
      <c r="AI33" s="46"/>
      <c r="AJ33" s="46"/>
      <c r="AK33" s="46"/>
      <c r="AL33" s="46"/>
      <c r="AM33" s="46"/>
      <c r="AN33" s="46"/>
      <c r="AO33" s="46"/>
      <c r="AP33" s="46"/>
      <c r="AQ33" s="46"/>
      <c r="AR33" s="46"/>
      <c r="AS33" s="46"/>
      <c r="AT33" s="46"/>
      <c r="AU33" s="46"/>
      <c r="AV33" s="46"/>
      <c r="AW33" s="46"/>
      <c r="AX33" s="46"/>
      <c r="AY33" s="46"/>
      <c r="AZ33" s="46"/>
      <c r="BA33" s="46"/>
      <c r="BB33" s="46"/>
      <c r="BC33" s="46"/>
      <c r="BD33" s="46"/>
      <c r="BE33" s="46"/>
      <c r="BF33" s="46"/>
      <c r="BG33" s="46"/>
      <c r="BH33" s="46"/>
      <c r="BI33" s="46"/>
      <c r="BJ33" s="46"/>
      <c r="BK33" s="46"/>
      <c r="BL33" s="46"/>
    </row>
    <row r="34" spans="1:64" ht="30" customHeight="1" x14ac:dyDescent="0.25">
      <c r="G34" s="6"/>
    </row>
    <row r="35" spans="1:64" ht="30" customHeight="1" x14ac:dyDescent="0.25">
      <c r="C35" s="14"/>
      <c r="F35" s="60"/>
    </row>
    <row r="36" spans="1:64" ht="30" customHeight="1" x14ac:dyDescent="0.25">
      <c r="C36" s="15"/>
    </row>
  </sheetData>
  <mergeCells count="12">
    <mergeCell ref="AY4:BE4"/>
    <mergeCell ref="BF4:BL4"/>
    <mergeCell ref="E3:F3"/>
    <mergeCell ref="I4:O4"/>
    <mergeCell ref="P4:V4"/>
    <mergeCell ref="W4:AC4"/>
    <mergeCell ref="AD4:AJ4"/>
    <mergeCell ref="C3:D3"/>
    <mergeCell ref="C4:D4"/>
    <mergeCell ref="B5:G5"/>
    <mergeCell ref="AK4:AQ4"/>
    <mergeCell ref="AR4:AX4"/>
  </mergeCells>
  <conditionalFormatting sqref="D7:D33">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33">
    <cfRule type="expression" dxfId="2" priority="33">
      <formula>AND(TODAY()&gt;=I$5,TODAY()&lt;J$5)</formula>
    </cfRule>
  </conditionalFormatting>
  <conditionalFormatting sqref="I7:BL33">
    <cfRule type="expression" dxfId="1" priority="27">
      <formula>AND(task_start&lt;=I$5,ROUNDDOWN((task_end-task_start+1)*task_progress,0)+task_start-1&gt;=I$5)</formula>
    </cfRule>
    <cfRule type="expression" dxfId="0" priority="28" stopIfTrue="1">
      <formula>AND(task_end&gt;=I$5,task_start&lt;J$5)</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defaultColWidth="9.140625" defaultRowHeight="12.75" x14ac:dyDescent="0.2"/>
  <cols>
    <col min="1" max="1" width="87.140625" style="48" customWidth="1"/>
    <col min="2" max="16384" width="9.140625" style="2"/>
  </cols>
  <sheetData>
    <row r="1" spans="1:2" ht="46.5" customHeight="1" x14ac:dyDescent="0.2"/>
    <row r="2" spans="1:2" s="50" customFormat="1" ht="15.75" x14ac:dyDescent="0.25">
      <c r="A2" s="49" t="s">
        <v>12</v>
      </c>
      <c r="B2" s="49"/>
    </row>
    <row r="3" spans="1:2" s="54" customFormat="1" ht="27" customHeight="1" x14ac:dyDescent="0.25">
      <c r="A3" s="55" t="s">
        <v>17</v>
      </c>
      <c r="B3" s="55"/>
    </row>
    <row r="4" spans="1:2" s="51" customFormat="1" ht="26.25" x14ac:dyDescent="0.4">
      <c r="A4" s="52" t="s">
        <v>11</v>
      </c>
    </row>
    <row r="5" spans="1:2" ht="74.099999999999994" customHeight="1" x14ac:dyDescent="0.2">
      <c r="A5" s="53" t="s">
        <v>20</v>
      </c>
    </row>
    <row r="6" spans="1:2" ht="26.25" customHeight="1" x14ac:dyDescent="0.2">
      <c r="A6" s="52" t="s">
        <v>23</v>
      </c>
    </row>
    <row r="7" spans="1:2" s="48" customFormat="1" ht="204.95" customHeight="1" x14ac:dyDescent="0.25">
      <c r="A7" s="57" t="s">
        <v>22</v>
      </c>
    </row>
    <row r="8" spans="1:2" s="51" customFormat="1" ht="26.25" x14ac:dyDescent="0.4">
      <c r="A8" s="52" t="s">
        <v>13</v>
      </c>
    </row>
    <row r="9" spans="1:2" ht="60" x14ac:dyDescent="0.2">
      <c r="A9" s="53" t="s">
        <v>21</v>
      </c>
    </row>
    <row r="10" spans="1:2" s="48" customFormat="1" ht="27.95" customHeight="1" x14ac:dyDescent="0.25">
      <c r="A10" s="56" t="s">
        <v>19</v>
      </c>
    </row>
    <row r="11" spans="1:2" s="51" customFormat="1" ht="26.25" x14ac:dyDescent="0.4">
      <c r="A11" s="52" t="s">
        <v>10</v>
      </c>
    </row>
    <row r="12" spans="1:2" ht="30" x14ac:dyDescent="0.2">
      <c r="A12" s="53" t="s">
        <v>18</v>
      </c>
    </row>
    <row r="13" spans="1:2" s="48" customFormat="1" ht="27.95" customHeight="1" x14ac:dyDescent="0.25">
      <c r="A13" s="56" t="s">
        <v>4</v>
      </c>
    </row>
    <row r="14" spans="1:2" s="51" customFormat="1" ht="26.25" x14ac:dyDescent="0.4">
      <c r="A14" s="52" t="s">
        <v>14</v>
      </c>
    </row>
    <row r="15" spans="1:2" ht="75" customHeight="1" x14ac:dyDescent="0.2">
      <c r="A15" s="53" t="s">
        <v>15</v>
      </c>
    </row>
    <row r="16" spans="1:2" ht="75" x14ac:dyDescent="0.2">
      <c r="A16" s="53" t="s">
        <v>16</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E49C3B21729434C834F03C10CFD3EE7" ma:contentTypeVersion="11" ma:contentTypeDescription="Create a new document." ma:contentTypeScope="" ma:versionID="dda2e0ad570191573d4862d24315b090">
  <xsd:schema xmlns:xsd="http://www.w3.org/2001/XMLSchema" xmlns:xs="http://www.w3.org/2001/XMLSchema" xmlns:p="http://schemas.microsoft.com/office/2006/metadata/properties" xmlns:ns2="3f90b35a-c7f5-466e-bdce-aad1192bcad3" xmlns:ns3="abad16e2-75b5-4d02-890c-30395bfef711" targetNamespace="http://schemas.microsoft.com/office/2006/metadata/properties" ma:root="true" ma:fieldsID="822e9fa36678c5abd975587ddd4d1967" ns2:_="" ns3:_="">
    <xsd:import namespace="3f90b35a-c7f5-466e-bdce-aad1192bcad3"/>
    <xsd:import namespace="abad16e2-75b5-4d02-890c-30395bfef71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90b35a-c7f5-466e-bdce-aad1192bca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bad16e2-75b5-4d02-890c-30395bfef71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49C0C78-21B3-4F87-B703-D4DFD6AB58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f90b35a-c7f5-466e-bdce-aad1192bcad3"/>
    <ds:schemaRef ds:uri="abad16e2-75b5-4d02-890c-30395bfef71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CFEB13B-E464-42B4-95B6-1B297F6F0D89}">
  <ds:schemaRefs>
    <ds:schemaRef ds:uri="http://schemas.microsoft.com/sharepoint/v3/contenttype/forms"/>
  </ds:schemaRefs>
</ds:datastoreItem>
</file>

<file path=customXml/itemProps3.xml><?xml version="1.0" encoding="utf-8"?>
<ds:datastoreItem xmlns:ds="http://schemas.openxmlformats.org/officeDocument/2006/customXml" ds:itemID="{ED231826-376F-4402-BA4A-6738EDB3C2A6}">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ProjectSchedule</vt:lpstr>
      <vt:lpstr>About</vt:lpstr>
      <vt:lpstr>Display_Week</vt:lpstr>
      <vt:lpstr>ProjectSchedule!Print_Titles</vt:lpstr>
      <vt:lpstr>Project_Start</vt:lpstr>
      <vt:lpstr>ProjectSchedule!task_end</vt:lpstr>
      <vt:lpstr>ProjectSchedule!task_progress</vt:lpstr>
      <vt:lpstr>ProjectSchedule!task_start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2019-03-19T17:17:03Z</dcterms:created>
  <dcterms:modified xsi:type="dcterms:W3CDTF">2021-09-08T10:27:31Z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b5591f2-6b23-403d-aa5f-b6d577f5e572_Enabled">
    <vt:lpwstr>true</vt:lpwstr>
  </property>
  <property fmtid="{D5CDD505-2E9C-101B-9397-08002B2CF9AE}" pid="3" name="MSIP_Label_4b5591f2-6b23-403d-aa5f-b6d577f5e572_SetDate">
    <vt:lpwstr>2020-08-03T08:55:19Z</vt:lpwstr>
  </property>
  <property fmtid="{D5CDD505-2E9C-101B-9397-08002B2CF9AE}" pid="4" name="MSIP_Label_4b5591f2-6b23-403d-aa5f-b6d577f5e572_Method">
    <vt:lpwstr>Standard</vt:lpwstr>
  </property>
  <property fmtid="{D5CDD505-2E9C-101B-9397-08002B2CF9AE}" pid="5" name="MSIP_Label_4b5591f2-6b23-403d-aa5f-b6d577f5e572_Name">
    <vt:lpwstr>4b5591f2-6b23-403d-aa5f-b6d577f5e572</vt:lpwstr>
  </property>
  <property fmtid="{D5CDD505-2E9C-101B-9397-08002B2CF9AE}" pid="6" name="MSIP_Label_4b5591f2-6b23-403d-aa5f-b6d577f5e572_SiteId">
    <vt:lpwstr>311b3378-8e8a-4b5e-a33f-e80a3d8ba60a</vt:lpwstr>
  </property>
  <property fmtid="{D5CDD505-2E9C-101B-9397-08002B2CF9AE}" pid="7" name="MSIP_Label_4b5591f2-6b23-403d-aa5f-b6d577f5e572_ActionId">
    <vt:lpwstr>3efa9081-7db8-40de-a48f-0000580de351</vt:lpwstr>
  </property>
  <property fmtid="{D5CDD505-2E9C-101B-9397-08002B2CF9AE}" pid="8" name="MSIP_Label_4b5591f2-6b23-403d-aa5f-b6d577f5e572_ContentBits">
    <vt:lpwstr>0</vt:lpwstr>
  </property>
  <property fmtid="{D5CDD505-2E9C-101B-9397-08002B2CF9AE}" pid="9" name="ContentTypeId">
    <vt:lpwstr>0x010100EE49C3B21729434C834F03C10CFD3EE7</vt:lpwstr>
  </property>
  <property fmtid="{D5CDD505-2E9C-101B-9397-08002B2CF9AE}" pid="10" name="WorkbookGuid">
    <vt:lpwstr>02245753-4ea2-4f41-9ba4-5450127698fe</vt:lpwstr>
  </property>
</Properties>
</file>